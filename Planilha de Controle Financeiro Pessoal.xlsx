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Curso Excel\"/>
    </mc:Choice>
  </mc:AlternateContent>
  <xr:revisionPtr revIDLastSave="0" documentId="13_ncr:1_{5CA5F60E-CD0F-4FDF-BEE2-369D3594320D}" xr6:coauthVersionLast="47" xr6:coauthVersionMax="47" xr10:uidLastSave="{00000000-0000-0000-0000-000000000000}"/>
  <bookViews>
    <workbookView xWindow="-120" yWindow="-120" windowWidth="20730" windowHeight="11040" activeTab="1" xr2:uid="{2E8DFA10-9407-489D-9C91-69DA3EC9D0CF}"/>
  </bookViews>
  <sheets>
    <sheet name="Dashboard" sheetId="4" r:id="rId1"/>
    <sheet name="Receitas" sheetId="1" r:id="rId2"/>
    <sheet name="Despesas" sheetId="3" r:id="rId3"/>
  </sheets>
  <definedNames>
    <definedName name="SegmentaçãodeDados_Categoria">#N/A</definedName>
    <definedName name="SegmentaçãodeDados_Data">#N/A</definedName>
    <definedName name="SegmentaçãodeDados_Descrição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4" l="1"/>
  <c r="B2" i="4"/>
  <c r="A2" i="4"/>
  <c r="B11" i="4"/>
  <c r="C2" i="4" l="1"/>
  <c r="D2" i="4" s="1"/>
</calcChain>
</file>

<file path=xl/sharedStrings.xml><?xml version="1.0" encoding="utf-8"?>
<sst xmlns="http://schemas.openxmlformats.org/spreadsheetml/2006/main" count="72" uniqueCount="50">
  <si>
    <t>Data</t>
  </si>
  <si>
    <t>Categoria</t>
  </si>
  <si>
    <t>Descrição</t>
  </si>
  <si>
    <t>Valor</t>
  </si>
  <si>
    <t>Salário</t>
  </si>
  <si>
    <t>Freelance</t>
  </si>
  <si>
    <t>Investimentos</t>
  </si>
  <si>
    <t>Alimentação</t>
  </si>
  <si>
    <t>Mercado</t>
  </si>
  <si>
    <t>Transporte</t>
  </si>
  <si>
    <t>Moradia</t>
  </si>
  <si>
    <t>Estudos</t>
  </si>
  <si>
    <t>Lazer</t>
  </si>
  <si>
    <t>Saúde</t>
  </si>
  <si>
    <t>Empresa Alpha</t>
  </si>
  <si>
    <t>Desenvolvimento de site</t>
  </si>
  <si>
    <t>Dividendos</t>
  </si>
  <si>
    <t>Outros</t>
  </si>
  <si>
    <t>Venda de notebook antigo</t>
  </si>
  <si>
    <t>Automação em Excel</t>
  </si>
  <si>
    <t>Rendimentos CDB</t>
  </si>
  <si>
    <t>Cashback cartão</t>
  </si>
  <si>
    <t>Dashboard financeiro</t>
  </si>
  <si>
    <t>Juros Tesouro Direto</t>
  </si>
  <si>
    <t>Combustível</t>
  </si>
  <si>
    <t>Aluguel</t>
  </si>
  <si>
    <t>Curso de Excel</t>
  </si>
  <si>
    <t>Cinema</t>
  </si>
  <si>
    <t>Farmácia</t>
  </si>
  <si>
    <t>Restaurante</t>
  </si>
  <si>
    <t>Uber</t>
  </si>
  <si>
    <t>Livro SQL</t>
  </si>
  <si>
    <t>Streaming</t>
  </si>
  <si>
    <t>Tipo</t>
  </si>
  <si>
    <t>Receita</t>
  </si>
  <si>
    <t>Despesa</t>
  </si>
  <si>
    <t>Saldo</t>
  </si>
  <si>
    <t>Economia %</t>
  </si>
  <si>
    <t>Receita Total</t>
  </si>
  <si>
    <t>Despesas Totais</t>
  </si>
  <si>
    <t>Rótulos de Linha</t>
  </si>
  <si>
    <t>Soma de Valor</t>
  </si>
  <si>
    <t>Total Geral</t>
  </si>
  <si>
    <t>Receitas</t>
  </si>
  <si>
    <t>Despesas</t>
  </si>
  <si>
    <t>Semana</t>
  </si>
  <si>
    <t>Semana 1</t>
  </si>
  <si>
    <t>Semana 2</t>
  </si>
  <si>
    <t>Semana 3</t>
  </si>
  <si>
    <t>Semana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</si>
</sst>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0" tint="-4.9989318521683403E-2"/>
      <name val="Arial"/>
      <family val="2"/>
    </font>
    <font>
      <sz val="12"/>
      <name val="Arial"/>
      <family val="2"/>
    </font>
    <font>
      <sz val="11"/>
      <name val="Aptos Narrow"/>
      <family val="2"/>
      <scheme val="minor"/>
    </font>
    <font>
      <u/>
      <sz val="12"/>
      <color theme="1"/>
      <name val="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6" fontId="3" fillId="0" borderId="1" xfId="0" applyNumberFormat="1" applyFont="1" applyBorder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left" vertical="center" wrapText="1"/>
    </xf>
    <xf numFmtId="6" fontId="3" fillId="0" borderId="2" xfId="0" applyNumberFormat="1" applyFont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/>
    </xf>
    <xf numFmtId="6" fontId="5" fillId="3" borderId="0" xfId="0" applyNumberFormat="1" applyFont="1" applyFill="1" applyBorder="1"/>
    <xf numFmtId="6" fontId="6" fillId="3" borderId="0" xfId="0" applyNumberFormat="1" applyFont="1" applyFill="1" applyBorder="1"/>
    <xf numFmtId="0" fontId="5" fillId="3" borderId="0" xfId="0" applyFont="1" applyFill="1" applyBorder="1"/>
    <xf numFmtId="0" fontId="6" fillId="3" borderId="0" xfId="0" applyFont="1" applyFill="1" applyBorder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4" fillId="3" borderId="0" xfId="0" applyFont="1" applyFill="1" applyBorder="1" applyAlignment="1"/>
    <xf numFmtId="6" fontId="3" fillId="3" borderId="0" xfId="0" applyNumberFormat="1" applyFont="1" applyFill="1" applyBorder="1" applyAlignment="1">
      <alignment horizontal="left"/>
    </xf>
    <xf numFmtId="0" fontId="3" fillId="3" borderId="0" xfId="0" applyFont="1" applyFill="1" applyBorder="1" applyAlignment="1"/>
    <xf numFmtId="0" fontId="3" fillId="0" borderId="0" xfId="0" applyFont="1" applyBorder="1" applyAlignment="1"/>
    <xf numFmtId="0" fontId="3" fillId="0" borderId="2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14" fontId="3" fillId="0" borderId="5" xfId="0" applyNumberFormat="1" applyFont="1" applyBorder="1" applyAlignment="1">
      <alignment horizontal="center" vertical="center" wrapText="1"/>
    </xf>
    <xf numFmtId="6" fontId="3" fillId="0" borderId="6" xfId="0" applyNumberFormat="1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left"/>
    </xf>
    <xf numFmtId="14" fontId="3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6" fontId="3" fillId="0" borderId="3" xfId="0" applyNumberFormat="1" applyFont="1" applyBorder="1" applyAlignment="1">
      <alignment horizontal="left" vertical="center" wrapText="1"/>
    </xf>
    <xf numFmtId="0" fontId="0" fillId="0" borderId="0" xfId="0" pivotButton="1"/>
    <xf numFmtId="0" fontId="0" fillId="0" borderId="0" xfId="0" applyNumberFormat="1"/>
    <xf numFmtId="0" fontId="8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6" fontId="3" fillId="0" borderId="1" xfId="0" applyNumberFormat="1" applyFont="1" applyBorder="1" applyAlignment="1">
      <alignment vertical="center" wrapText="1"/>
    </xf>
    <xf numFmtId="0" fontId="4" fillId="2" borderId="4" xfId="0" applyFont="1" applyFill="1" applyBorder="1" applyAlignment="1">
      <alignment horizontal="left"/>
    </xf>
    <xf numFmtId="6" fontId="3" fillId="0" borderId="9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rial"/>
        <family val="2"/>
        <scheme val="none"/>
      </font>
      <fill>
        <patternFill patternType="solid">
          <fgColor indexed="64"/>
          <bgColor theme="9" tint="-0.49998474074526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0" formatCode="&quot;R$&quot;\ #,##0;[Red]\-&quot;R$&quot;\ #,##0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0" formatCode="&quot;R$&quot;\ #,##0;[Red]\-&quot;R$&quot;\ #,##0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Arial"/>
        <family val="2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Controle Financeiro Pessoal.xlsx]Dashboard!Tabela dinâmica12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Dashboard!$F$4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CF-4BFD-B046-2F330C0452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CF-4BFD-B046-2F330C0452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CF-4BFD-B046-2F330C0452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9CF-4BFD-B046-2F330C0452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9CF-4BFD-B046-2F330C0452B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9CF-4BFD-B046-2F330C0452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Dashboard!$E$5:$E$11</c:f>
              <c:strCache>
                <c:ptCount val="6"/>
                <c:pt idx="0">
                  <c:v>Alimentação</c:v>
                </c:pt>
                <c:pt idx="1">
                  <c:v>Estudos</c:v>
                </c:pt>
                <c:pt idx="2">
                  <c:v>Lazer</c:v>
                </c:pt>
                <c:pt idx="3">
                  <c:v>Moradia</c:v>
                </c:pt>
                <c:pt idx="4">
                  <c:v>Saúde</c:v>
                </c:pt>
                <c:pt idx="5">
                  <c:v>Transporte</c:v>
                </c:pt>
              </c:strCache>
            </c:strRef>
          </c:cat>
          <c:val>
            <c:numRef>
              <c:f>Dashboard!$F$5:$F$11</c:f>
              <c:numCache>
                <c:formatCode>General</c:formatCode>
                <c:ptCount val="6"/>
                <c:pt idx="0">
                  <c:v>345</c:v>
                </c:pt>
                <c:pt idx="1">
                  <c:v>209</c:v>
                </c:pt>
                <c:pt idx="2">
                  <c:v>84</c:v>
                </c:pt>
                <c:pt idx="3">
                  <c:v>1200</c:v>
                </c:pt>
                <c:pt idx="4">
                  <c:v>70</c:v>
                </c:pt>
                <c:pt idx="5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A-45EB-8710-67E6B3A05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Receitas_x_Despesas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Dashboard!$A$11:$A$12</c:f>
              <c:strCache>
                <c:ptCount val="2"/>
                <c:pt idx="0">
                  <c:v>Receitas</c:v>
                </c:pt>
                <c:pt idx="1">
                  <c:v>Despesas</c:v>
                </c:pt>
              </c:strCache>
            </c:strRef>
          </c:cat>
          <c:val>
            <c:numRef>
              <c:f>Dashboard!$B$11:$B$12</c:f>
              <c:numCache>
                <c:formatCode>"R$"#,##0_);[Red]\("R$"#,##0\)</c:formatCode>
                <c:ptCount val="2"/>
                <c:pt idx="0">
                  <c:v>10930</c:v>
                </c:pt>
                <c:pt idx="1">
                  <c:v>2120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1-462A-8587-8D287FC4A0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1954416"/>
        <c:axId val="571952016"/>
      </c:barChart>
      <c:catAx>
        <c:axId val="571954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1952016"/>
        <c:crosses val="autoZero"/>
        <c:auto val="1"/>
        <c:lblAlgn val="ctr"/>
        <c:lblOffset val="100"/>
        <c:noMultiLvlLbl val="0"/>
      </c:catAx>
      <c:valAx>
        <c:axId val="571952016"/>
        <c:scaling>
          <c:orientation val="minMax"/>
        </c:scaling>
        <c:delete val="1"/>
        <c:axPos val="l"/>
        <c:numFmt formatCode="&quot;R$&quot;#,##0_);[Red]\(&quot;R$&quot;#,##0\)" sourceLinked="1"/>
        <c:majorTickMark val="out"/>
        <c:minorTickMark val="none"/>
        <c:tickLblPos val="nextTo"/>
        <c:crossAx val="57195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</a:t>
            </a:r>
            <a:r>
              <a:rPr lang="pt-BR" baseline="0"/>
              <a:t> semanal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Receita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Dashboard!$A$5:$A$8</c:f>
              <c:strCache>
                <c:ptCount val="4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</c:strCache>
            </c:strRef>
          </c:cat>
          <c:val>
            <c:numRef>
              <c:f>Dashboard!$B$5:$B$8</c:f>
              <c:numCache>
                <c:formatCode>"R$"#,##0_);[Red]\("R$"#,##0\)</c:formatCode>
                <c:ptCount val="4"/>
                <c:pt idx="0">
                  <c:v>4350</c:v>
                </c:pt>
                <c:pt idx="1">
                  <c:v>4820</c:v>
                </c:pt>
                <c:pt idx="2">
                  <c:v>765</c:v>
                </c:pt>
                <c:pt idx="3">
                  <c:v>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11-4947-8E52-9E09710125CE}"/>
            </c:ext>
          </c:extLst>
        </c:ser>
        <c:ser>
          <c:idx val="1"/>
          <c:order val="1"/>
          <c:tx>
            <c:strRef>
              <c:f>Dashboard!$C$4</c:f>
              <c:strCache>
                <c:ptCount val="1"/>
                <c:pt idx="0">
                  <c:v>Despesa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Dashboard!$A$5:$A$8</c:f>
              <c:strCache>
                <c:ptCount val="4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</c:strCache>
            </c:strRef>
          </c:cat>
          <c:val>
            <c:numRef>
              <c:f>Dashboard!$C$5:$C$8</c:f>
              <c:numCache>
                <c:formatCode>"R$"#,##0_);[Red]\("R$"#,##0\)</c:formatCode>
                <c:ptCount val="4"/>
                <c:pt idx="0">
                  <c:v>430</c:v>
                </c:pt>
                <c:pt idx="1">
                  <c:v>1404</c:v>
                </c:pt>
                <c:pt idx="2">
                  <c:v>247</c:v>
                </c:pt>
                <c:pt idx="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11-4947-8E52-9E0971012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963056"/>
        <c:axId val="571964976"/>
      </c:lineChart>
      <c:catAx>
        <c:axId val="57196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1964976"/>
        <c:crosses val="autoZero"/>
        <c:auto val="1"/>
        <c:lblAlgn val="ctr"/>
        <c:lblOffset val="100"/>
        <c:noMultiLvlLbl val="0"/>
      </c:catAx>
      <c:valAx>
        <c:axId val="571964976"/>
        <c:scaling>
          <c:orientation val="minMax"/>
        </c:scaling>
        <c:delete val="0"/>
        <c:axPos val="l"/>
        <c:numFmt formatCode="&quot;R$&quot;#,##0_);[Red]\(&quot;R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196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29101</xdr:rowOff>
    </xdr:from>
    <xdr:to>
      <xdr:col>5</xdr:col>
      <xdr:colOff>348183</xdr:colOff>
      <xdr:row>28</xdr:row>
      <xdr:rowOff>38625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4642F9-6E67-D1B9-7E38-38F71A8C1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69273</xdr:colOff>
      <xdr:row>13</xdr:row>
      <xdr:rowOff>100691</xdr:rowOff>
    </xdr:from>
    <xdr:to>
      <xdr:col>11</xdr:col>
      <xdr:colOff>454755</xdr:colOff>
      <xdr:row>28</xdr:row>
      <xdr:rowOff>114979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07A2E08-286C-DFA4-60B7-7DF72C345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51954</xdr:colOff>
      <xdr:row>0</xdr:row>
      <xdr:rowOff>60130</xdr:rowOff>
    </xdr:from>
    <xdr:to>
      <xdr:col>10</xdr:col>
      <xdr:colOff>856665</xdr:colOff>
      <xdr:row>13</xdr:row>
      <xdr:rowOff>101694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C46E901-9D27-6C96-8374-E91068D1C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28</xdr:row>
      <xdr:rowOff>113628</xdr:rowOff>
    </xdr:from>
    <xdr:to>
      <xdr:col>1</xdr:col>
      <xdr:colOff>1002672</xdr:colOff>
      <xdr:row>42</xdr:row>
      <xdr:rowOff>122966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ata">
              <a:extLst>
                <a:ext uri="{FF2B5EF4-FFF2-40B4-BE49-F238E27FC236}">
                  <a16:creationId xmlns:a16="http://schemas.microsoft.com/office/drawing/2014/main" id="{8FBC624E-94D9-FC00-E8B9-D662854479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464193"/>
              <a:ext cx="1822650" cy="26763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965880</xdr:colOff>
      <xdr:row>28</xdr:row>
      <xdr:rowOff>109809</xdr:rowOff>
    </xdr:from>
    <xdr:to>
      <xdr:col>4</xdr:col>
      <xdr:colOff>302475</xdr:colOff>
      <xdr:row>42</xdr:row>
      <xdr:rowOff>119147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ia">
              <a:extLst>
                <a:ext uri="{FF2B5EF4-FFF2-40B4-BE49-F238E27FC236}">
                  <a16:creationId xmlns:a16="http://schemas.microsoft.com/office/drawing/2014/main" id="{01B36FD0-9B67-6C94-990C-8415E4947D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5858" y="5460374"/>
              <a:ext cx="1879356" cy="26763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279876</xdr:colOff>
      <xdr:row>28</xdr:row>
      <xdr:rowOff>103722</xdr:rowOff>
    </xdr:from>
    <xdr:to>
      <xdr:col>5</xdr:col>
      <xdr:colOff>910723</xdr:colOff>
      <xdr:row>42</xdr:row>
      <xdr:rowOff>113060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Descrição">
              <a:extLst>
                <a:ext uri="{FF2B5EF4-FFF2-40B4-BE49-F238E27FC236}">
                  <a16:creationId xmlns:a16="http://schemas.microsoft.com/office/drawing/2014/main" id="{90390139-E3D7-ABA5-F8DE-255AD7D9BB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2615" y="5454287"/>
              <a:ext cx="1856673" cy="26763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Oliveira" refreshedDate="46153.375899421299" createdVersion="8" refreshedVersion="8" minRefreshableVersion="3" recordCount="10" xr:uid="{DB5A87FD-626B-45DC-9128-C143B990A5E7}">
  <cacheSource type="worksheet">
    <worksheetSource name="tbl_despesas"/>
  </cacheSource>
  <cacheFields count="4">
    <cacheField name="Data" numFmtId="14">
      <sharedItems containsSemiMixedTypes="0" containsNonDate="0" containsDate="1" containsString="0" minDate="2026-05-08T00:00:00" maxDate="2026-05-26T00:00:00" count="10">
        <d v="2026-05-08T00:00:00"/>
        <d v="2026-05-09T00:00:00"/>
        <d v="2026-05-11T00:00:00"/>
        <d v="2026-05-13T00:00:00"/>
        <d v="2026-05-14T00:00:00"/>
        <d v="2026-05-16T00:00:00"/>
        <d v="2026-05-18T00:00:00"/>
        <d v="2026-05-20T00:00:00"/>
        <d v="2026-05-22T00:00:00"/>
        <d v="2026-05-25T00:00:00"/>
      </sharedItems>
    </cacheField>
    <cacheField name="Categoria" numFmtId="0">
      <sharedItems count="6">
        <s v="Alimentação"/>
        <s v="Transporte"/>
        <s v="Moradia"/>
        <s v="Estudos"/>
        <s v="Lazer"/>
        <s v="Saúde"/>
      </sharedItems>
    </cacheField>
    <cacheField name="Descrição" numFmtId="0">
      <sharedItems count="10">
        <s v="Mercado"/>
        <s v="Combustível"/>
        <s v="Aluguel"/>
        <s v="Curso de Excel"/>
        <s v="Cinema"/>
        <s v="Farmácia"/>
        <s v="Restaurante"/>
        <s v="Uber"/>
        <s v="Livro SQL"/>
        <s v="Streaming"/>
      </sharedItems>
    </cacheField>
    <cacheField name="Valor" numFmtId="6">
      <sharedItems containsSemiMixedTypes="0" containsString="0" containsNumber="1" containsInteger="1" minValue="32" maxValue="1200"/>
    </cacheField>
  </cacheFields>
  <extLst>
    <ext xmlns:x14="http://schemas.microsoft.com/office/spreadsheetml/2009/9/main" uri="{725AE2AE-9491-48be-B2B4-4EB974FC3084}">
      <x14:pivotCacheDefinition pivotCacheId="13315524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250"/>
  </r>
  <r>
    <x v="1"/>
    <x v="1"/>
    <x v="1"/>
    <n v="180"/>
  </r>
  <r>
    <x v="2"/>
    <x v="2"/>
    <x v="2"/>
    <n v="1200"/>
  </r>
  <r>
    <x v="3"/>
    <x v="3"/>
    <x v="3"/>
    <n v="89"/>
  </r>
  <r>
    <x v="4"/>
    <x v="4"/>
    <x v="4"/>
    <n v="45"/>
  </r>
  <r>
    <x v="5"/>
    <x v="5"/>
    <x v="5"/>
    <n v="70"/>
  </r>
  <r>
    <x v="6"/>
    <x v="0"/>
    <x v="6"/>
    <n v="95"/>
  </r>
  <r>
    <x v="7"/>
    <x v="1"/>
    <x v="7"/>
    <n v="32"/>
  </r>
  <r>
    <x v="8"/>
    <x v="3"/>
    <x v="8"/>
    <n v="120"/>
  </r>
  <r>
    <x v="9"/>
    <x v="4"/>
    <x v="9"/>
    <n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9390E-E9F1-459D-9D36-DABC43A25489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E4:F11" firstHeaderRow="1" firstDataRow="1" firstDataCol="1"/>
  <pivotFields count="4"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7">
        <item x="0"/>
        <item x="3"/>
        <item x="4"/>
        <item x="2"/>
        <item x="5"/>
        <item x="1"/>
        <item t="default"/>
      </items>
    </pivotField>
    <pivotField showAll="0">
      <items count="11">
        <item x="2"/>
        <item x="4"/>
        <item x="1"/>
        <item x="3"/>
        <item x="5"/>
        <item x="8"/>
        <item x="0"/>
        <item x="6"/>
        <item x="9"/>
        <item x="7"/>
        <item t="default"/>
      </items>
    </pivotField>
    <pivotField dataField="1" numFmtId="6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" fld="3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" xr10:uid="{BAE22EEF-6A2B-46DC-9874-D255CAE7A29F}" sourceName="Data">
  <pivotTables>
    <pivotTable tabId="4" name="Tabela dinâmica12"/>
  </pivotTables>
  <data>
    <tabular pivotCacheId="1331552477">
      <items count="10"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CB8051AD-F6F1-4E9C-A79B-CC647F60EE14}" sourceName="Categoria">
  <pivotTables>
    <pivotTable tabId="4" name="Tabela dinâmica12"/>
  </pivotTables>
  <data>
    <tabular pivotCacheId="1331552477">
      <items count="6">
        <i x="0" s="1"/>
        <i x="3" s="1"/>
        <i x="4" s="1"/>
        <i x="2" s="1"/>
        <i x="5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crição" xr10:uid="{61B6AF5E-05B4-4DD7-92F4-DD41E92C1B53}" sourceName="Descrição">
  <pivotTables>
    <pivotTable tabId="4" name="Tabela dinâmica12"/>
  </pivotTables>
  <data>
    <tabular pivotCacheId="1331552477">
      <items count="10">
        <i x="2" s="1"/>
        <i x="4" s="1"/>
        <i x="1" s="1"/>
        <i x="3" s="1"/>
        <i x="5" s="1"/>
        <i x="8" s="1"/>
        <i x="0" s="1"/>
        <i x="6" s="1"/>
        <i x="9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" xr10:uid="{0309FA0B-FA72-4781-980F-3E2F5805CF9D}" cache="SegmentaçãodeDados_Data" caption="Data" rowHeight="257175"/>
  <slicer name="Categoria" xr10:uid="{482ECC51-22BA-42C1-BF86-57566E1C41D9}" cache="SegmentaçãodeDados_Categoria" caption="Categoria" rowHeight="257175"/>
  <slicer name="Descrição" xr10:uid="{FC426B52-9F0C-47FC-A4F8-FF33AADA4805}" cache="SegmentaçãodeDados_Descrição" caption="Descriçã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54C5F1-834A-486C-BC14-A63FA49D3050}" name="Tabela2" displayName="Tabela2" ref="A1:D11" totalsRowShown="0" headerRowDxfId="0" headerRowBorderDxfId="6" tableBorderDxfId="7" totalsRowBorderDxfId="5">
  <autoFilter ref="A1:D11" xr:uid="{CE54C5F1-834A-486C-BC14-A63FA49D3050}"/>
  <tableColumns count="4">
    <tableColumn id="1" xr3:uid="{683BAB57-E88F-4B21-8123-BADEA8A25635}" name="Data" dataDxfId="4"/>
    <tableColumn id="2" xr3:uid="{38E69371-DB76-4D52-BC3E-5A6975B23E24}" name="Categoria" dataDxfId="3"/>
    <tableColumn id="3" xr3:uid="{C046685C-F11A-4E5C-AB7D-35E721C1F25A}" name="Descrição" dataDxfId="2"/>
    <tableColumn id="4" xr3:uid="{204D0021-3401-4574-BFC9-F047E2615C86}" name="Valor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3F6C8-A536-48B9-95A8-8F4452FEC913}" name="tbl_despesas" displayName="tbl_despesas" ref="A1:D11" totalsRowShown="0" headerRowDxfId="14" headerRowBorderDxfId="13" tableBorderDxfId="12">
  <autoFilter ref="A1:D11" xr:uid="{E003F6C8-A536-48B9-95A8-8F4452FEC913}"/>
  <tableColumns count="4">
    <tableColumn id="1" xr3:uid="{DAAA50E3-4937-48CF-A1B6-407D2BB0F1AF}" name="Data" dataDxfId="11"/>
    <tableColumn id="2" xr3:uid="{F0285DF6-43CD-4C31-AE1C-21B8F4A1ABAA}" name="Categoria" dataDxfId="10"/>
    <tableColumn id="3" xr3:uid="{5BF588FA-E384-48E7-A5C7-4C0E07C3C82D}" name="Descrição" dataDxfId="9"/>
    <tableColumn id="4" xr3:uid="{402559E3-57E6-42E0-A91B-8A9D93C73BA6}" name="Valor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CC66-B026-4FCC-AC5E-6574042E439A}">
  <dimension ref="A1:F12"/>
  <sheetViews>
    <sheetView topLeftCell="A19" zoomScale="115" zoomScaleNormal="115" workbookViewId="0">
      <selection activeCell="H39" sqref="H39"/>
    </sheetView>
  </sheetViews>
  <sheetFormatPr defaultRowHeight="15" x14ac:dyDescent="0.25"/>
  <cols>
    <col min="1" max="1" width="12.28515625" bestFit="1" customWidth="1"/>
    <col min="2" max="2" width="15.85546875" bestFit="1" customWidth="1"/>
    <col min="3" max="3" width="10.42578125" bestFit="1" customWidth="1"/>
    <col min="4" max="4" width="11.85546875" bestFit="1" customWidth="1"/>
    <col min="5" max="5" width="18.42578125" bestFit="1" customWidth="1"/>
    <col min="6" max="6" width="13.85546875" bestFit="1" customWidth="1"/>
    <col min="7" max="7" width="18.42578125" bestFit="1" customWidth="1"/>
    <col min="8" max="8" width="13.85546875" bestFit="1" customWidth="1"/>
    <col min="9" max="9" width="11.7109375" bestFit="1" customWidth="1"/>
    <col min="10" max="10" width="18.42578125" bestFit="1" customWidth="1"/>
    <col min="11" max="11" width="13.85546875" bestFit="1" customWidth="1"/>
  </cols>
  <sheetData>
    <row r="1" spans="1:6" x14ac:dyDescent="0.25">
      <c r="A1" s="19" t="s">
        <v>38</v>
      </c>
      <c r="B1" s="19" t="s">
        <v>39</v>
      </c>
      <c r="C1" s="19" t="s">
        <v>36</v>
      </c>
      <c r="D1" s="19" t="s">
        <v>37</v>
      </c>
    </row>
    <row r="2" spans="1:6" x14ac:dyDescent="0.25">
      <c r="A2" s="20">
        <f>SUM(Receitas!D2:D100)</f>
        <v>10930</v>
      </c>
      <c r="B2" s="20">
        <f>SUM(Despesas!D2:D100)</f>
        <v>2120</v>
      </c>
      <c r="C2" s="20">
        <f>A2-B2</f>
        <v>8810</v>
      </c>
      <c r="D2" s="21">
        <f>ROUND((C2/A2)*100,1)</f>
        <v>80.599999999999994</v>
      </c>
    </row>
    <row r="4" spans="1:6" x14ac:dyDescent="0.25">
      <c r="A4" s="40" t="s">
        <v>45</v>
      </c>
      <c r="B4" s="40" t="s">
        <v>34</v>
      </c>
      <c r="C4" s="40" t="s">
        <v>35</v>
      </c>
      <c r="E4" s="38" t="s">
        <v>40</v>
      </c>
      <c r="F4" t="s">
        <v>41</v>
      </c>
    </row>
    <row r="5" spans="1:6" x14ac:dyDescent="0.25">
      <c r="A5" s="41" t="s">
        <v>46</v>
      </c>
      <c r="B5" s="42">
        <v>4350</v>
      </c>
      <c r="C5" s="42">
        <v>430</v>
      </c>
      <c r="E5" s="18" t="s">
        <v>7</v>
      </c>
      <c r="F5" s="39">
        <v>345</v>
      </c>
    </row>
    <row r="6" spans="1:6" x14ac:dyDescent="0.25">
      <c r="A6" s="41" t="s">
        <v>47</v>
      </c>
      <c r="B6" s="42">
        <v>4820</v>
      </c>
      <c r="C6" s="42">
        <v>1404</v>
      </c>
      <c r="E6" s="18" t="s">
        <v>11</v>
      </c>
      <c r="F6" s="39">
        <v>209</v>
      </c>
    </row>
    <row r="7" spans="1:6" ht="15.75" x14ac:dyDescent="0.25">
      <c r="A7" s="3" t="s">
        <v>48</v>
      </c>
      <c r="B7" s="4">
        <v>765</v>
      </c>
      <c r="C7" s="4">
        <v>247</v>
      </c>
      <c r="E7" s="18" t="s">
        <v>12</v>
      </c>
      <c r="F7" s="39">
        <v>84</v>
      </c>
    </row>
    <row r="8" spans="1:6" ht="15.75" x14ac:dyDescent="0.25">
      <c r="A8" s="3" t="s">
        <v>49</v>
      </c>
      <c r="B8" s="4">
        <v>995</v>
      </c>
      <c r="C8" s="4">
        <v>39</v>
      </c>
      <c r="E8" s="18" t="s">
        <v>10</v>
      </c>
      <c r="F8" s="39">
        <v>1200</v>
      </c>
    </row>
    <row r="9" spans="1:6" x14ac:dyDescent="0.25">
      <c r="E9" s="18" t="s">
        <v>13</v>
      </c>
      <c r="F9" s="39">
        <v>70</v>
      </c>
    </row>
    <row r="10" spans="1:6" x14ac:dyDescent="0.25">
      <c r="A10" s="40" t="s">
        <v>33</v>
      </c>
      <c r="B10" s="40" t="s">
        <v>3</v>
      </c>
      <c r="E10" s="18" t="s">
        <v>9</v>
      </c>
      <c r="F10" s="39">
        <v>212</v>
      </c>
    </row>
    <row r="11" spans="1:6" x14ac:dyDescent="0.25">
      <c r="A11" s="9" t="s">
        <v>43</v>
      </c>
      <c r="B11" s="11">
        <f>SUM(Receitas!D2:D100)</f>
        <v>10930</v>
      </c>
      <c r="E11" s="18" t="s">
        <v>42</v>
      </c>
      <c r="F11" s="39">
        <v>2120</v>
      </c>
    </row>
    <row r="12" spans="1:6" x14ac:dyDescent="0.25">
      <c r="A12" s="9" t="s">
        <v>44</v>
      </c>
      <c r="B12" s="11">
        <f>SUM(Despesas!D2:D100)</f>
        <v>2120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7461-4AEC-437C-A1A3-7622B1F1C429}">
  <dimension ref="A1:G11"/>
  <sheetViews>
    <sheetView tabSelected="1" zoomScaleNormal="100" workbookViewId="0">
      <selection activeCell="F7" sqref="F7"/>
    </sheetView>
  </sheetViews>
  <sheetFormatPr defaultRowHeight="15.75" x14ac:dyDescent="0.25"/>
  <cols>
    <col min="1" max="1" width="12.7109375" style="1" bestFit="1" customWidth="1"/>
    <col min="2" max="2" width="14.85546875" style="7" bestFit="1" customWidth="1"/>
    <col min="3" max="3" width="18.28515625" style="7" customWidth="1"/>
    <col min="4" max="4" width="10.7109375" style="7" bestFit="1" customWidth="1"/>
    <col min="5" max="5" width="11.7109375" style="1" bestFit="1" customWidth="1"/>
    <col min="6" max="6" width="10.42578125" style="1" bestFit="1" customWidth="1"/>
    <col min="7" max="7" width="24" customWidth="1"/>
  </cols>
  <sheetData>
    <row r="1" spans="1:7" x14ac:dyDescent="0.25">
      <c r="A1" s="31" t="s">
        <v>0</v>
      </c>
      <c r="B1" s="43" t="s">
        <v>1</v>
      </c>
      <c r="C1" s="43" t="s">
        <v>2</v>
      </c>
      <c r="D1" s="33" t="s">
        <v>3</v>
      </c>
      <c r="E1" s="13"/>
      <c r="F1" s="13"/>
      <c r="G1" s="13"/>
    </row>
    <row r="2" spans="1:7" x14ac:dyDescent="0.25">
      <c r="A2" s="29">
        <v>46147</v>
      </c>
      <c r="B2" s="9" t="s">
        <v>4</v>
      </c>
      <c r="C2" s="9" t="s">
        <v>14</v>
      </c>
      <c r="D2" s="11">
        <v>3500</v>
      </c>
      <c r="E2" s="14"/>
      <c r="F2" s="14"/>
      <c r="G2" s="15"/>
    </row>
    <row r="3" spans="1:7" ht="30" x14ac:dyDescent="0.25">
      <c r="A3" s="29">
        <v>46150</v>
      </c>
      <c r="B3" s="9" t="s">
        <v>5</v>
      </c>
      <c r="C3" s="9" t="s">
        <v>15</v>
      </c>
      <c r="D3" s="11">
        <v>850</v>
      </c>
      <c r="E3" s="16"/>
      <c r="F3" s="16"/>
      <c r="G3" s="17"/>
    </row>
    <row r="4" spans="1:7" x14ac:dyDescent="0.25">
      <c r="A4" s="29">
        <v>46152</v>
      </c>
      <c r="B4" s="9" t="s">
        <v>6</v>
      </c>
      <c r="C4" s="9" t="s">
        <v>16</v>
      </c>
      <c r="D4" s="11">
        <v>120</v>
      </c>
    </row>
    <row r="5" spans="1:7" ht="30" x14ac:dyDescent="0.25">
      <c r="A5" s="29">
        <v>46154</v>
      </c>
      <c r="B5" s="9" t="s">
        <v>17</v>
      </c>
      <c r="C5" s="9" t="s">
        <v>18</v>
      </c>
      <c r="D5" s="11">
        <v>1200</v>
      </c>
    </row>
    <row r="6" spans="1:7" x14ac:dyDescent="0.25">
      <c r="A6" s="29">
        <v>46157</v>
      </c>
      <c r="B6" s="9" t="s">
        <v>4</v>
      </c>
      <c r="C6" s="9" t="s">
        <v>14</v>
      </c>
      <c r="D6" s="11">
        <v>3500</v>
      </c>
    </row>
    <row r="7" spans="1:7" ht="30" x14ac:dyDescent="0.25">
      <c r="A7" s="29">
        <v>46160</v>
      </c>
      <c r="B7" s="9" t="s">
        <v>5</v>
      </c>
      <c r="C7" s="9" t="s">
        <v>19</v>
      </c>
      <c r="D7" s="11">
        <v>650</v>
      </c>
      <c r="F7" s="27"/>
    </row>
    <row r="8" spans="1:7" ht="30" x14ac:dyDescent="0.25">
      <c r="A8" s="29">
        <v>46162</v>
      </c>
      <c r="B8" s="9" t="s">
        <v>6</v>
      </c>
      <c r="C8" s="9" t="s">
        <v>20</v>
      </c>
      <c r="D8" s="11">
        <v>75</v>
      </c>
    </row>
    <row r="9" spans="1:7" ht="30" x14ac:dyDescent="0.25">
      <c r="A9" s="29">
        <v>46164</v>
      </c>
      <c r="B9" s="9" t="s">
        <v>17</v>
      </c>
      <c r="C9" s="9" t="s">
        <v>21</v>
      </c>
      <c r="D9" s="11">
        <v>40</v>
      </c>
    </row>
    <row r="10" spans="1:7" ht="30" x14ac:dyDescent="0.25">
      <c r="A10" s="29">
        <v>46167</v>
      </c>
      <c r="B10" s="9" t="s">
        <v>5</v>
      </c>
      <c r="C10" s="9" t="s">
        <v>22</v>
      </c>
      <c r="D10" s="11">
        <v>900</v>
      </c>
    </row>
    <row r="11" spans="1:7" ht="30" x14ac:dyDescent="0.25">
      <c r="A11" s="34">
        <v>46170</v>
      </c>
      <c r="B11" s="35" t="s">
        <v>6</v>
      </c>
      <c r="C11" s="35" t="s">
        <v>23</v>
      </c>
      <c r="D11" s="44">
        <v>95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6E08-0731-4870-AB1C-DE4C75B5D3C9}">
  <dimension ref="A1:E20"/>
  <sheetViews>
    <sheetView workbookViewId="0">
      <selection activeCell="E4" sqref="E4"/>
    </sheetView>
  </sheetViews>
  <sheetFormatPr defaultRowHeight="15.75" x14ac:dyDescent="0.25"/>
  <cols>
    <col min="1" max="1" width="13" style="5" bestFit="1" customWidth="1"/>
    <col min="2" max="2" width="13.85546875" style="2" bestFit="1" customWidth="1"/>
    <col min="3" max="3" width="14.5703125" style="5" customWidth="1"/>
    <col min="4" max="4" width="10.42578125" style="8" bestFit="1" customWidth="1"/>
    <col min="5" max="5" width="12" style="6" bestFit="1" customWidth="1"/>
  </cols>
  <sheetData>
    <row r="1" spans="1:5" x14ac:dyDescent="0.25">
      <c r="A1" s="31" t="s">
        <v>0</v>
      </c>
      <c r="B1" s="32" t="s">
        <v>1</v>
      </c>
      <c r="C1" s="32" t="s">
        <v>2</v>
      </c>
      <c r="D1" s="33" t="s">
        <v>3</v>
      </c>
      <c r="E1" s="22"/>
    </row>
    <row r="2" spans="1:5" x14ac:dyDescent="0.25">
      <c r="A2" s="29">
        <v>46150</v>
      </c>
      <c r="B2" s="9" t="s">
        <v>7</v>
      </c>
      <c r="C2" s="26" t="s">
        <v>8</v>
      </c>
      <c r="D2" s="12">
        <v>250</v>
      </c>
      <c r="E2" s="23"/>
    </row>
    <row r="3" spans="1:5" x14ac:dyDescent="0.25">
      <c r="A3" s="29">
        <v>46151</v>
      </c>
      <c r="B3" s="9" t="s">
        <v>9</v>
      </c>
      <c r="C3" s="26" t="s">
        <v>24</v>
      </c>
      <c r="D3" s="12">
        <v>180</v>
      </c>
      <c r="E3" s="24"/>
    </row>
    <row r="4" spans="1:5" x14ac:dyDescent="0.25">
      <c r="A4" s="29">
        <v>46153</v>
      </c>
      <c r="B4" s="9" t="s">
        <v>10</v>
      </c>
      <c r="C4" s="26" t="s">
        <v>25</v>
      </c>
      <c r="D4" s="12">
        <v>1200</v>
      </c>
      <c r="E4" s="25"/>
    </row>
    <row r="5" spans="1:5" ht="30" x14ac:dyDescent="0.25">
      <c r="A5" s="29">
        <v>46155</v>
      </c>
      <c r="B5" s="9" t="s">
        <v>11</v>
      </c>
      <c r="C5" s="10" t="s">
        <v>26</v>
      </c>
      <c r="D5" s="30">
        <v>89</v>
      </c>
    </row>
    <row r="6" spans="1:5" x14ac:dyDescent="0.25">
      <c r="A6" s="29">
        <v>46156</v>
      </c>
      <c r="B6" s="9" t="s">
        <v>12</v>
      </c>
      <c r="C6" s="10" t="s">
        <v>27</v>
      </c>
      <c r="D6" s="12">
        <v>45</v>
      </c>
    </row>
    <row r="7" spans="1:5" x14ac:dyDescent="0.25">
      <c r="A7" s="29">
        <v>46158</v>
      </c>
      <c r="B7" s="9" t="s">
        <v>13</v>
      </c>
      <c r="C7" s="10" t="s">
        <v>28</v>
      </c>
      <c r="D7" s="12">
        <v>70</v>
      </c>
    </row>
    <row r="8" spans="1:5" x14ac:dyDescent="0.25">
      <c r="A8" s="29">
        <v>46160</v>
      </c>
      <c r="B8" s="9" t="s">
        <v>7</v>
      </c>
      <c r="C8" s="10" t="s">
        <v>29</v>
      </c>
      <c r="D8" s="12">
        <v>95</v>
      </c>
    </row>
    <row r="9" spans="1:5" x14ac:dyDescent="0.25">
      <c r="A9" s="29">
        <v>46162</v>
      </c>
      <c r="B9" s="9" t="s">
        <v>9</v>
      </c>
      <c r="C9" s="10" t="s">
        <v>30</v>
      </c>
      <c r="D9" s="12">
        <v>32</v>
      </c>
    </row>
    <row r="10" spans="1:5" x14ac:dyDescent="0.25">
      <c r="A10" s="29">
        <v>46164</v>
      </c>
      <c r="B10" s="9" t="s">
        <v>11</v>
      </c>
      <c r="C10" s="10" t="s">
        <v>31</v>
      </c>
      <c r="D10" s="12">
        <v>120</v>
      </c>
    </row>
    <row r="11" spans="1:5" x14ac:dyDescent="0.25">
      <c r="A11" s="34">
        <v>46167</v>
      </c>
      <c r="B11" s="35" t="s">
        <v>12</v>
      </c>
      <c r="C11" s="36" t="s">
        <v>32</v>
      </c>
      <c r="D11" s="37">
        <v>39</v>
      </c>
    </row>
    <row r="12" spans="1:5" x14ac:dyDescent="0.25">
      <c r="A12" s="2"/>
      <c r="C12" s="2"/>
      <c r="D12" s="7"/>
    </row>
    <row r="13" spans="1:5" x14ac:dyDescent="0.25">
      <c r="A13" s="2"/>
      <c r="C13" s="2"/>
      <c r="D13" s="7"/>
    </row>
    <row r="14" spans="1:5" x14ac:dyDescent="0.25">
      <c r="A14" s="2"/>
      <c r="C14" s="2"/>
      <c r="D14" s="7"/>
    </row>
    <row r="15" spans="1:5" x14ac:dyDescent="0.25">
      <c r="A15" s="2"/>
      <c r="C15" s="2"/>
      <c r="D15" s="7"/>
    </row>
    <row r="16" spans="1:5" x14ac:dyDescent="0.25">
      <c r="A16" s="2"/>
      <c r="C16" s="2"/>
      <c r="D16" s="7"/>
    </row>
    <row r="17" spans="1:4" x14ac:dyDescent="0.25">
      <c r="A17" s="2"/>
      <c r="C17" s="2"/>
      <c r="D17" s="7"/>
    </row>
    <row r="18" spans="1:4" x14ac:dyDescent="0.25">
      <c r="A18" s="2"/>
      <c r="C18" s="28"/>
      <c r="D18" s="7"/>
    </row>
    <row r="19" spans="1:4" x14ac:dyDescent="0.25">
      <c r="A19" s="2"/>
      <c r="C19" s="2"/>
      <c r="D19" s="7"/>
    </row>
    <row r="20" spans="1:4" x14ac:dyDescent="0.25">
      <c r="A20" s="2"/>
      <c r="C20" s="2"/>
      <c r="D20" s="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Receitas</vt:lpstr>
      <vt:lpstr>Despesas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Oliveira</dc:creator>
  <cp:lastModifiedBy>David Oliveira</cp:lastModifiedBy>
  <cp:lastPrinted>2026-05-11T12:55:03Z</cp:lastPrinted>
  <dcterms:created xsi:type="dcterms:W3CDTF">2026-05-11T10:41:06Z</dcterms:created>
  <dcterms:modified xsi:type="dcterms:W3CDTF">2026-05-11T13:01:13Z</dcterms:modified>
</cp:coreProperties>
</file>